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tor" sheetId="1" state="visible" r:id="rId1"/>
    <sheet name="Custos iniciais" sheetId="2" state="visible" r:id="rId2"/>
    <sheet name="Versus concorrência" sheetId="3" state="visible" r:id="rId3"/>
    <sheet name="Fon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7">
    <font>
      <name val="Calibri"/>
      <family val="2"/>
      <color theme="1"/>
      <sz val="11"/>
      <scheme val="minor"/>
    </font>
    <font>
      <name val="Calibri"/>
      <b val="1"/>
      <color rgb="003B2F28"/>
      <sz val="16"/>
    </font>
    <font>
      <name val="Calibri"/>
      <i val="1"/>
      <color rgb="008A746C"/>
      <sz val="10"/>
    </font>
    <font>
      <b val="1"/>
      <color rgb="00F4ECE6"/>
    </font>
    <font>
      <name val="Calibri"/>
      <color rgb="003B2F28"/>
      <sz val="11"/>
    </font>
    <font>
      <b val="1"/>
      <color rgb="003B2F28"/>
    </font>
    <font>
      <b val="1"/>
    </font>
  </fonts>
  <fills count="6">
    <fill>
      <patternFill/>
    </fill>
    <fill>
      <patternFill patternType="gray125"/>
    </fill>
    <fill>
      <patternFill patternType="solid">
        <fgColor rgb="003B2F28"/>
      </patternFill>
    </fill>
    <fill>
      <patternFill patternType="solid">
        <fgColor rgb="00FFF8EE"/>
      </patternFill>
    </fill>
    <fill>
      <patternFill patternType="solid">
        <fgColor rgb="00E8F3E8"/>
      </patternFill>
    </fill>
    <fill>
      <patternFill patternType="solid">
        <fgColor rgb="00FBE8D8"/>
      </patternFill>
    </fill>
  </fills>
  <borders count="2">
    <border>
      <left/>
      <right/>
      <top/>
      <bottom/>
      <diagonal/>
    </border>
    <border>
      <left style="thin">
        <color rgb="00D7C4AA"/>
      </left>
      <right style="thin">
        <color rgb="00D7C4AA"/>
      </right>
      <top style="thin">
        <color rgb="00D7C4AA"/>
      </top>
      <bottom style="thin">
        <color rgb="00D7C4AA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3" fontId="0" fillId="3" borderId="1" pivotButton="0" quotePrefix="0" xfId="0"/>
    <xf numFmtId="10" fontId="0" fillId="3" borderId="1" pivotButton="0" quotePrefix="0" xfId="0"/>
    <xf numFmtId="164" fontId="0" fillId="3" borderId="1" pivotButton="0" quotePrefix="0" xfId="0"/>
    <xf numFmtId="0" fontId="0" fillId="3" borderId="1" pivotButton="0" quotePrefix="0" xfId="0"/>
    <xf numFmtId="4" fontId="0" fillId="3" borderId="1" pivotButton="0" quotePrefix="0" xfId="0"/>
    <xf numFmtId="0" fontId="5" fillId="0" borderId="0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  <xf numFmtId="0" fontId="3" fillId="2" borderId="0" pivotButton="0" quotePrefix="0" xfId="0"/>
    <xf numFmtId="0" fontId="6" fillId="0" borderId="0" pivotButton="0" quotePrefix="0" xfId="0"/>
    <xf numFmtId="164" fontId="6" fillId="4" borderId="0" pivotButton="0" quotePrefix="0" xfId="0"/>
    <xf numFmtId="4" fontId="0" fillId="5" borderId="0" pivotButton="0" quotePrefix="0" xfId="0"/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 ht="24" customHeight="1">
      <c r="A1" s="1" t="inlineStr">
        <is>
          <t>NossoCasamento — motor de viabilidade</t>
        </is>
      </c>
    </row>
    <row r="2">
      <c r="A2" s="2" t="inlineStr">
        <is>
          <t>Células creme são editáveis. Os três cenários leem estas linhas. Não apague as fórmulas amarelas.</t>
        </is>
      </c>
    </row>
    <row r="4">
      <c r="A4" s="3" t="inlineStr">
        <is>
          <t>Parâmetro</t>
        </is>
      </c>
      <c r="B4" s="3" t="inlineStr">
        <is>
          <t>Conservador</t>
        </is>
      </c>
      <c r="C4" s="3" t="inlineStr">
        <is>
          <t>Base</t>
        </is>
      </c>
      <c r="D4" s="3" t="inlineStr">
        <is>
          <t>Agressivo</t>
        </is>
      </c>
    </row>
    <row r="5">
      <c r="A5" s="4" t="inlineStr">
        <is>
          <t>Impressões / mês</t>
        </is>
      </c>
      <c r="B5" s="5" t="n">
        <v>80000</v>
      </c>
      <c r="C5" s="5" t="n">
        <v>150000</v>
      </c>
      <c r="D5" s="5" t="n">
        <v>400000</v>
      </c>
      <c r="E5" s="2" t="inlineStr">
        <is>
          <t>Google Ads + Meta. Volume comprado, não orgânico.</t>
        </is>
      </c>
    </row>
    <row r="6">
      <c r="A6" s="4" t="inlineStr">
        <is>
          <t>CTR do anúncio</t>
        </is>
      </c>
      <c r="B6" s="6" t="n">
        <v>0.025</v>
      </c>
      <c r="C6" s="6" t="n">
        <v>0.04</v>
      </c>
      <c r="D6" s="6" t="n">
        <v>0.055</v>
      </c>
      <c r="E6" s="2" t="inlineStr">
        <is>
          <t>Casamento no Brasil: 2,5%–5,5% é faixa honesta.</t>
        </is>
      </c>
    </row>
    <row r="7">
      <c r="A7" s="4" t="inlineStr">
        <is>
          <t>CPC (R$)</t>
        </is>
      </c>
      <c r="B7" s="7" t="n">
        <v>3.6</v>
      </c>
      <c r="C7" s="7" t="n">
        <v>2.8</v>
      </c>
      <c r="D7" s="7" t="n">
        <v>2.1</v>
      </c>
      <c r="E7" s="2" t="inlineStr">
        <is>
          <t>Pesquisa 2026 BR para 'site de casamento' / RSVP.</t>
        </is>
      </c>
    </row>
    <row r="8">
      <c r="A8" s="4" t="inlineStr">
        <is>
          <t>Conversão da página → cadastro</t>
        </is>
      </c>
      <c r="B8" s="6" t="n">
        <v>0.03</v>
      </c>
      <c r="C8" s="6" t="n">
        <v>0.05</v>
      </c>
      <c r="D8" s="6" t="n">
        <v>0.08</v>
      </c>
      <c r="E8" s="2" t="inlineStr">
        <is>
          <t>SaaS landing mediana ~3,8% (Unbounce). 5% é otimista com demo.</t>
        </is>
      </c>
    </row>
    <row r="9">
      <c r="A9" s="4" t="inlineStr">
        <is>
          <t>Cadastro → casal ativo com PIX</t>
        </is>
      </c>
      <c r="B9" s="6" t="n">
        <v>0.35</v>
      </c>
      <c r="C9" s="6" t="n">
        <v>0.5</v>
      </c>
      <c r="D9" s="6" t="n">
        <v>0.65</v>
      </c>
      <c r="E9" s="2" t="inlineStr">
        <is>
          <t>Quem termina o site e coloca chave PIX.</t>
        </is>
      </c>
    </row>
    <row r="10">
      <c r="A10" s="4" t="inlineStr">
        <is>
          <t>Mix Grátis / Essencial / Completo</t>
        </is>
      </c>
      <c r="B10" s="8" t="inlineStr">
        <is>
          <t>70/25/5</t>
        </is>
      </c>
      <c r="C10" s="8" t="inlineStr">
        <is>
          <t>55/35/10</t>
        </is>
      </c>
      <c r="D10" s="8" t="inlineStr">
        <is>
          <t>40/40/20</t>
        </is>
      </c>
      <c r="E10" s="2" t="inlineStr">
        <is>
          <t>Só o texto. A receita de plano usa % abaixo.</t>
        </is>
      </c>
    </row>
    <row r="11">
      <c r="A11" s="4" t="inlineStr">
        <is>
          <t>% no Grátis</t>
        </is>
      </c>
      <c r="B11" s="6" t="n">
        <v>0.7</v>
      </c>
      <c r="C11" s="6" t="n">
        <v>0.55</v>
      </c>
      <c r="D11" s="6" t="n">
        <v>0.4</v>
      </c>
      <c r="E11" s="2" t="inlineStr"/>
    </row>
    <row r="12">
      <c r="A12" s="4" t="inlineStr">
        <is>
          <t>% no Essencial (R$49)</t>
        </is>
      </c>
      <c r="B12" s="6" t="n">
        <v>0.25</v>
      </c>
      <c r="C12" s="6" t="n">
        <v>0.35</v>
      </c>
      <c r="D12" s="6" t="n">
        <v>0.4</v>
      </c>
      <c r="E12" s="2" t="inlineStr"/>
    </row>
    <row r="13">
      <c r="A13" s="4" t="inlineStr">
        <is>
          <t>% no Completo (R$99)</t>
        </is>
      </c>
      <c r="B13" s="6" t="n">
        <v>0.05</v>
      </c>
      <c r="C13" s="6" t="n">
        <v>0.1</v>
      </c>
      <c r="D13" s="6" t="n">
        <v>0.2</v>
      </c>
      <c r="E13" s="2" t="inlineStr"/>
    </row>
    <row r="14">
      <c r="A14" s="4" t="inlineStr">
        <is>
          <t>GMV presente / casal ativo (R$)</t>
        </is>
      </c>
      <c r="B14" s="7" t="n">
        <v>1800</v>
      </c>
      <c r="C14" s="7" t="n">
        <v>3200</v>
      </c>
      <c r="D14" s="7" t="n">
        <v>5500</v>
      </c>
      <c r="E14" s="2" t="inlineStr">
        <is>
          <t>Soma da lista que realmente entra. Atraso ~6 meses.</t>
        </is>
      </c>
    </row>
    <row r="15">
      <c r="A15" s="4" t="inlineStr">
        <is>
          <t>Meses até o GMV médio</t>
        </is>
      </c>
      <c r="B15" s="9" t="n">
        <v>7</v>
      </c>
      <c r="C15" s="9" t="n">
        <v>6</v>
      </c>
      <c r="D15" s="9" t="n">
        <v>5</v>
      </c>
      <c r="E15" s="2" t="inlineStr">
        <is>
          <t>Presente não cai no mês do anúncio.</t>
        </is>
      </c>
    </row>
    <row r="16">
      <c r="A16" s="4" t="inlineStr">
        <is>
          <t>Taxa média da plataforma</t>
        </is>
      </c>
      <c r="B16" s="6" t="n">
        <v>0.028</v>
      </c>
      <c r="C16" s="6" t="n">
        <v>0.024</v>
      </c>
      <c r="D16" s="6" t="n">
        <v>0.021</v>
      </c>
      <c r="E16" s="2" t="inlineStr">
        <is>
          <t>Blended Grátis 3,29 / Essencial 2,49 / Completo 1,99.</t>
        </is>
      </c>
    </row>
    <row r="17">
      <c r="A17" s="4" t="inlineStr">
        <is>
          <t>Asaas come da taxa (R$ por PIX médio)</t>
        </is>
      </c>
      <c r="B17" s="7" t="n">
        <v>1.99</v>
      </c>
      <c r="C17" s="7" t="n">
        <v>1.99</v>
      </c>
      <c r="D17" s="7" t="n">
        <v>1.99</v>
      </c>
      <c r="E17" s="2" t="inlineStr">
        <is>
          <t>PIX fixo Asaas. Cartão é pior: 0,49+2,99%.</t>
        </is>
      </c>
    </row>
    <row r="18">
      <c r="A18" s="4" t="inlineStr">
        <is>
          <t>Ticket médio de um PIX (R$)</t>
        </is>
      </c>
      <c r="B18" s="7" t="n">
        <v>180</v>
      </c>
      <c r="C18" s="7" t="n">
        <v>220</v>
      </c>
      <c r="D18" s="7" t="n">
        <v>280</v>
      </c>
      <c r="E18" s="2" t="inlineStr">
        <is>
          <t>Para estimar quantos PIX por casal.</t>
        </is>
      </c>
    </row>
    <row r="19">
      <c r="A19" s="4" t="inlineStr">
        <is>
          <t>Orçamento Ads / mês (R$)</t>
        </is>
      </c>
      <c r="B19" s="7" t="n">
        <v>2000</v>
      </c>
      <c r="C19" s="7" t="n">
        <v>3000</v>
      </c>
      <c r="D19" s="7" t="n">
        <v>8000</v>
      </c>
      <c r="E19" s="2" t="inlineStr">
        <is>
          <t>Mídia paga. Não inclui salário.</t>
        </is>
      </c>
    </row>
    <row r="22">
      <c r="A22" s="10" t="inlineStr">
        <is>
          <t>Resultado do funil (fórmulas — não edite)</t>
        </is>
      </c>
    </row>
    <row r="23">
      <c r="A23" s="4" t="inlineStr">
        <is>
          <t>Cliques</t>
        </is>
      </c>
      <c r="B23" s="11">
        <f>B5*B6</f>
        <v/>
      </c>
      <c r="C23" s="11">
        <f>C5*C6</f>
        <v/>
      </c>
      <c r="D23" s="11">
        <f>D5*D6</f>
        <v/>
      </c>
    </row>
    <row r="24">
      <c r="A24" s="4" t="inlineStr">
        <is>
          <t>Gasto Ads implícito (cliques×CPC)</t>
        </is>
      </c>
      <c r="B24" s="12">
        <f>B23*B7</f>
        <v/>
      </c>
      <c r="C24" s="12">
        <f>C23*C7</f>
        <v/>
      </c>
      <c r="D24" s="12">
        <f>D23*D7</f>
        <v/>
      </c>
    </row>
    <row r="25">
      <c r="A25" s="4" t="inlineStr">
        <is>
          <t>Cadastros</t>
        </is>
      </c>
      <c r="B25" s="11">
        <f>B23*B8</f>
        <v/>
      </c>
      <c r="C25" s="11">
        <f>C23*C8</f>
        <v/>
      </c>
      <c r="D25" s="11">
        <f>D23*D8</f>
        <v/>
      </c>
    </row>
    <row r="26">
      <c r="A26" s="4" t="inlineStr">
        <is>
          <t>Casais ativos</t>
        </is>
      </c>
      <c r="B26" s="11">
        <f>B25*B9</f>
        <v/>
      </c>
      <c r="C26" s="11">
        <f>C25*C9</f>
        <v/>
      </c>
      <c r="D26" s="11">
        <f>D25*D9</f>
        <v/>
      </c>
    </row>
    <row r="27">
      <c r="A27" s="4" t="inlineStr">
        <is>
          <t>CAC pago (Ads / ativos)</t>
        </is>
      </c>
      <c r="B27" s="12">
        <f>B19/B26</f>
        <v/>
      </c>
      <c r="C27" s="12">
        <f>C19/C26</f>
        <v/>
      </c>
      <c r="D27" s="12">
        <f>D19/D26</f>
        <v/>
      </c>
    </row>
    <row r="28">
      <c r="A28" s="4" t="inlineStr">
        <is>
          <t>Receita plano / casal</t>
        </is>
      </c>
      <c r="B28" s="12">
        <f>B12*49+B13*99</f>
        <v/>
      </c>
      <c r="C28" s="12">
        <f>C12*49+C13*99</f>
        <v/>
      </c>
      <c r="D28" s="12">
        <f>D12*49+D13*99</f>
        <v/>
      </c>
    </row>
    <row r="29">
      <c r="A29" s="4" t="inlineStr">
        <is>
          <t>PIX por casal (GMV/ticket)</t>
        </is>
      </c>
      <c r="B29" s="13">
        <f>B14/B18</f>
        <v/>
      </c>
      <c r="C29" s="13">
        <f>C14/C18</f>
        <v/>
      </c>
      <c r="D29" s="13">
        <f>D14/D18</f>
        <v/>
      </c>
    </row>
    <row r="30">
      <c r="A30" s="4" t="inlineStr">
        <is>
          <t>Custo Asaas / casal</t>
        </is>
      </c>
      <c r="B30" s="12">
        <f>B29*B17</f>
        <v/>
      </c>
      <c r="C30" s="12">
        <f>C29*C17</f>
        <v/>
      </c>
      <c r="D30" s="12">
        <f>D29*D17</f>
        <v/>
      </c>
    </row>
    <row r="31">
      <c r="A31" s="4" t="inlineStr">
        <is>
          <t>Take bruto / casal (GMV×taxa)</t>
        </is>
      </c>
      <c r="B31" s="12">
        <f>B14*B16</f>
        <v/>
      </c>
      <c r="C31" s="12">
        <f>C14*C16</f>
        <v/>
      </c>
      <c r="D31" s="12">
        <f>D14*D16</f>
        <v/>
      </c>
    </row>
    <row r="32">
      <c r="A32" s="4" t="inlineStr">
        <is>
          <t>Take líquido / casal</t>
        </is>
      </c>
      <c r="B32" s="12">
        <f>B31-B30</f>
        <v/>
      </c>
      <c r="C32" s="12">
        <f>C31-C30</f>
        <v/>
      </c>
      <c r="D32" s="12">
        <f>D31-D30</f>
        <v/>
      </c>
    </row>
    <row r="33">
      <c r="A33" s="4" t="inlineStr">
        <is>
          <t>LTV (plano + take líquido)</t>
        </is>
      </c>
      <c r="B33" s="12">
        <f>B28+B32</f>
        <v/>
      </c>
      <c r="C33" s="12">
        <f>C28+C32</f>
        <v/>
      </c>
      <c r="D33" s="12">
        <f>D28+D32</f>
        <v/>
      </c>
    </row>
    <row r="34">
      <c r="A34" s="4" t="inlineStr">
        <is>
          <t>LTV : CAC</t>
        </is>
      </c>
      <c r="B34" s="14">
        <f>B33/B27</f>
        <v/>
      </c>
      <c r="C34" s="14">
        <f>C33/C27</f>
        <v/>
      </c>
      <c r="D34" s="14">
        <f>D33/D27</f>
        <v/>
      </c>
    </row>
    <row r="35">
      <c r="A35" s="4" t="inlineStr">
        <is>
          <t>Payback Ads (meses, com atraso GMV)</t>
        </is>
      </c>
      <c r="B35" s="13">
        <f>B15+(B19/(B26*B28+0.0001))</f>
        <v/>
      </c>
      <c r="C35" s="13">
        <f>C15+(C19/(C26*C28+0.0001))</f>
        <v/>
      </c>
      <c r="D35" s="13">
        <f>D15+(D19/(D26*D28+0.0001))</f>
        <v/>
      </c>
    </row>
    <row r="36">
      <c r="A36" s="4" t="inlineStr">
        <is>
          <t>Receita mês 1 (só planos)</t>
        </is>
      </c>
      <c r="B36" s="12">
        <f>B26*B28</f>
        <v/>
      </c>
      <c r="C36" s="12">
        <f>C26*C28</f>
        <v/>
      </c>
      <c r="D36" s="12">
        <f>D26*D28</f>
        <v/>
      </c>
    </row>
    <row r="37">
      <c r="A37" s="4" t="inlineStr">
        <is>
          <t>Receita mês 7 (planos + take do cohort)</t>
        </is>
      </c>
      <c r="B37" s="12">
        <f>B36+B26*B32</f>
        <v/>
      </c>
      <c r="C37" s="12">
        <f>C36+C26*C32</f>
        <v/>
      </c>
      <c r="D37" s="12">
        <f>D36+D26*D32</f>
        <v/>
      </c>
    </row>
    <row r="38">
      <c r="A38" s="4" t="inlineStr">
        <is>
          <t>Lucro mês 7 após Ads</t>
        </is>
      </c>
      <c r="B38" s="12">
        <f>B37-B19</f>
        <v/>
      </c>
      <c r="C38" s="12">
        <f>C37-C19</f>
        <v/>
      </c>
      <c r="D38" s="12">
        <f>D37-D19</f>
        <v/>
      </c>
    </row>
    <row r="40">
      <c r="A40" s="2" t="inlineStr">
        <is>
          <t>Leitura: LTV:CAC acima de 3 é saudável. Abaixo de 1,5 o anúncio queima caixa. Take só existe depois do atraso de presentes.</t>
        </is>
      </c>
    </row>
  </sheetData>
  <mergeCells count="3">
    <mergeCell ref="A1:D1"/>
    <mergeCell ref="A40:E40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48" customWidth="1" min="3" max="3"/>
  </cols>
  <sheetData>
    <row r="1">
      <c r="A1" s="1" t="inlineStr">
        <is>
          <t>Caixa para abrir — 3 meses de pista</t>
        </is>
      </c>
    </row>
    <row r="2">
      <c r="A2" s="2" t="inlineStr">
        <is>
          <t>Valores em R$. Dólar 5,1451 (18 set 2026). Edite a coluna Valor.</t>
        </is>
      </c>
    </row>
    <row r="4">
      <c r="A4" s="15" t="inlineStr">
        <is>
          <t>Item</t>
        </is>
      </c>
      <c r="B4" s="15" t="inlineStr">
        <is>
          <t>Valor (R$)</t>
        </is>
      </c>
      <c r="C4" s="15" t="inlineStr">
        <is>
          <t>Nota</t>
        </is>
      </c>
    </row>
    <row r="5">
      <c r="A5" t="inlineStr">
        <is>
          <t>CNPJ MEI + DAS 3 meses</t>
        </is>
      </c>
      <c r="B5" s="7" t="n">
        <v>258.15</v>
      </c>
      <c r="C5" s="2" t="inlineStr">
        <is>
          <t>DAS serviços 2026 ~R$86,05/mês</t>
        </is>
      </c>
    </row>
    <row r="6">
      <c r="A6" t="inlineStr">
        <is>
          <t>Registro.br domínio .com.br</t>
        </is>
      </c>
      <c r="B6" s="7" t="n">
        <v>40</v>
      </c>
      <c r="C6" s="2" t="inlineStr">
        <is>
          <t>1 ano</t>
        </is>
      </c>
    </row>
    <row r="7">
      <c r="A7" t="inlineStr">
        <is>
          <t>Vercel Pro 3 meses</t>
        </is>
      </c>
      <c r="B7" s="7" t="n">
        <v>308.71</v>
      </c>
      <c r="C7" s="2" t="inlineStr">
        <is>
          <t>US$20 × 5,1451</t>
        </is>
      </c>
    </row>
    <row r="8">
      <c r="A8" t="inlineStr">
        <is>
          <t>Supabase Pro 3 meses</t>
        </is>
      </c>
      <c r="B8" s="7" t="n">
        <v>385.88</v>
      </c>
      <c r="C8" s="2" t="inlineStr">
        <is>
          <t>US$25 × 5,1451</t>
        </is>
      </c>
    </row>
    <row r="9">
      <c r="A9" t="inlineStr">
        <is>
          <t>Asaas (sem mensalidade mínima)</t>
        </is>
      </c>
      <c r="B9" s="7" t="n">
        <v>0</v>
      </c>
      <c r="C9" s="2" t="inlineStr">
        <is>
          <t>Paga por transação</t>
        </is>
      </c>
    </row>
    <row r="10">
      <c r="A10" t="inlineStr">
        <is>
          <t>Conta Google Ads (depósito)</t>
        </is>
      </c>
      <c r="B10" s="7" t="n">
        <v>3000</v>
      </c>
      <c r="C10" s="2" t="inlineStr">
        <is>
          <t>Igual ao orçamento Base do Motor</t>
        </is>
      </c>
    </row>
    <row r="11">
      <c r="A11" t="inlineStr">
        <is>
          <t>Conta Meta Ads (opcional)</t>
        </is>
      </c>
      <c r="B11" s="7" t="n">
        <v>1500</v>
      </c>
      <c r="C11" s="2" t="inlineStr">
        <is>
          <t>Pode zerar se só Google</t>
        </is>
      </c>
    </row>
    <row r="12">
      <c r="A12" t="inlineStr">
        <is>
          <t>Design/fotos de estoque</t>
        </is>
      </c>
      <c r="B12" s="7" t="n">
        <v>400</v>
      </c>
      <c r="C12" s="2" t="inlineStr">
        <is>
          <t>Já temos ensaio próprio; reserva</t>
        </is>
      </c>
    </row>
    <row r="13">
      <c r="A13" t="inlineStr">
        <is>
          <t>Contingência 15%</t>
        </is>
      </c>
      <c r="B13" s="7">
        <f>SUM(B5:B12)*0.15</f>
        <v/>
      </c>
      <c r="C13" s="2" t="inlineStr">
        <is>
          <t>Fórmula = 15% da soma acima</t>
        </is>
      </c>
    </row>
    <row r="14">
      <c r="A14" s="16" t="inlineStr">
        <is>
          <t>TOTAL para 3 meses</t>
        </is>
      </c>
      <c r="B14" s="17">
        <f>SUM(B5:B13)</f>
        <v/>
      </c>
    </row>
    <row r="16">
      <c r="A16" s="2" t="inlineStr">
        <is>
          <t>Payback desta caixa = TOTAL / lucro mês 7 do cenário Base (Motor!C38). Se C38 for negativo, a caixa não se paga com Ads neste tamanho.</t>
        </is>
      </c>
    </row>
    <row r="17">
      <c r="A17" t="inlineStr">
        <is>
          <t>Payback (meses)</t>
        </is>
      </c>
      <c r="B17" s="18">
        <f>IF(Motor!C38&lt;=0,"não se paga",B14/Motor!C38)</f>
        <v/>
      </c>
    </row>
  </sheetData>
  <mergeCells count="2">
    <mergeCell ref="A1:C1"/>
    <mergeCell ref="A16:C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28" customWidth="1" min="3" max="3"/>
    <col width="36" customWidth="1" min="4" max="4"/>
  </cols>
  <sheetData>
    <row r="1">
      <c r="A1" s="1" t="inlineStr">
        <is>
          <t>Taxa da lista — o que o casal perde</t>
        </is>
      </c>
    </row>
    <row r="3">
      <c r="A3" s="15" t="inlineStr">
        <is>
          <t>Plataforma</t>
        </is>
      </c>
      <c r="B3" s="15" t="inlineStr">
        <is>
          <t>Taxa lista</t>
        </is>
      </c>
      <c r="C3" s="15" t="inlineStr">
        <is>
          <t>Em R$2.000 de presentes</t>
        </is>
      </c>
      <c r="D3" s="15" t="inlineStr">
        <is>
          <t>Nota</t>
        </is>
      </c>
    </row>
    <row r="4">
      <c r="A4" t="inlineStr">
        <is>
          <t>Casar.com</t>
        </is>
      </c>
      <c r="B4" s="19" t="n">
        <v>0.0389</v>
      </c>
      <c r="C4" s="20">
        <f>2000*B4</f>
        <v/>
      </c>
      <c r="D4" s="2" t="inlineStr">
        <is>
          <t>Público 2024–26 ~3,89%</t>
        </is>
      </c>
    </row>
    <row r="5">
      <c r="A5" t="inlineStr">
        <is>
          <t>iCasei</t>
        </is>
      </c>
      <c r="B5" s="19" t="n">
        <v>0.0369</v>
      </c>
      <c r="C5" s="20">
        <f>2000*B5</f>
        <v/>
      </c>
      <c r="D5" s="2" t="inlineStr">
        <is>
          <t>Faixa 3,69%–3,89%</t>
        </is>
      </c>
    </row>
    <row r="6">
      <c r="A6" t="inlineStr">
        <is>
          <t>NossoCasamento Grátis</t>
        </is>
      </c>
      <c r="B6" s="19" t="n">
        <v>0.0329</v>
      </c>
      <c r="C6" s="20">
        <f>2000*B6</f>
        <v/>
      </c>
      <c r="D6" s="2" t="inlineStr">
        <is>
          <t>Quem não paga o site</t>
        </is>
      </c>
    </row>
    <row r="7">
      <c r="A7" t="inlineStr">
        <is>
          <t>NossoCasamento Essencial</t>
        </is>
      </c>
      <c r="B7" s="19" t="n">
        <v>0.0249</v>
      </c>
      <c r="C7" s="20">
        <f>2000*B7</f>
        <v/>
      </c>
      <c r="D7" s="2" t="inlineStr">
        <is>
          <t>R$49 único</t>
        </is>
      </c>
    </row>
    <row r="8">
      <c r="A8" t="inlineStr">
        <is>
          <t>NossoCasamento Completo</t>
        </is>
      </c>
      <c r="B8" s="19" t="n">
        <v>0.0199</v>
      </c>
      <c r="C8" s="20">
        <f>2000*B8</f>
        <v/>
      </c>
      <c r="D8" s="2" t="inlineStr">
        <is>
          <t>R$99 único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De onde vieram os números (set 2026)</t>
        </is>
      </c>
    </row>
    <row r="3">
      <c r="A3" t="inlineStr">
        <is>
          <t>Asaas PIX R$1,99 / cartão R$0,49+2,99% — asaas.com.br/precos-e-taxas</t>
        </is>
      </c>
    </row>
    <row r="4">
      <c r="A4" t="inlineStr">
        <is>
          <t>Unbounce Conversion Benchmark 2026 — landing SaaS ~3,8%</t>
        </is>
      </c>
    </row>
    <row r="5">
      <c r="A5" t="inlineStr">
        <is>
          <t>Google Ads CPC Brasil 2026 — faixas Adlega / CentSight / contas reais de casamento</t>
        </is>
      </c>
    </row>
    <row r="6">
      <c r="A6" t="inlineStr">
        <is>
          <t>Casar.com 3,89% e iCasei 3,69–3,89% — páginas de preço públicas</t>
        </is>
      </c>
    </row>
    <row r="7">
      <c r="A7" t="inlineStr">
        <is>
          <t>USD/BRL 5,1451 em 18 set 2026</t>
        </is>
      </c>
    </row>
    <row r="8">
      <c r="A8" t="inlineStr">
        <is>
          <t>MEI DAS serviços ~R$86,05 (2026)</t>
        </is>
      </c>
    </row>
    <row r="9">
      <c r="A9" t="inlineStr">
        <is>
          <t>Registro.br .com.br R$40/ano</t>
        </is>
      </c>
    </row>
    <row r="10">
      <c r="A10" t="inlineStr">
        <is>
          <t>Vercel Pro US$20 · Supabase Pro US$25</t>
        </is>
      </c>
    </row>
    <row r="11">
      <c r="A11" t="inlineStr">
        <is>
          <t>Planos NossoCasamento: Grátis 3,29% · Essencial R$49 / 2,49% · Completo R$99 / 1,99%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2026-09-20T14:09:11Z</dcterms:created>
  <dcterms:modified xsi:type="dcterms:W3CDTF">2026-09-20T14:09:11Z</dcterms:modified>
</cp:coreProperties>
</file>